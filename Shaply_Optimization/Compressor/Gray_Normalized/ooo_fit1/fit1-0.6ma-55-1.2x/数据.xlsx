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G:\lu\24.03.20\fit1\z\fit1-0.6ma-55-1.2x\"/>
    </mc:Choice>
  </mc:AlternateContent>
  <xr:revisionPtr revIDLastSave="0" documentId="13_ncr:1_{2CE10F96-C8F1-48BC-9843-38F326030CF0}" xr6:coauthVersionLast="47" xr6:coauthVersionMax="47" xr10:uidLastSave="{00000000-0000-0000-0000-000000000000}"/>
  <bookViews>
    <workbookView xWindow="960" yWindow="4365" windowWidth="21165" windowHeight="1545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E1" i="1"/>
  <c r="H7" i="1" s="1"/>
</calcChain>
</file>

<file path=xl/sharedStrings.xml><?xml version="1.0" encoding="utf-8"?>
<sst xmlns="http://schemas.openxmlformats.org/spreadsheetml/2006/main" count="27" uniqueCount="26">
  <si>
    <t>入口静压</t>
    <phoneticPr fontId="1" type="noConversion"/>
  </si>
  <si>
    <t>出口静压</t>
    <phoneticPr fontId="1" type="noConversion"/>
  </si>
  <si>
    <t>入口总压</t>
    <phoneticPr fontId="1" type="noConversion"/>
  </si>
  <si>
    <t>出口总压</t>
    <phoneticPr fontId="1" type="noConversion"/>
  </si>
  <si>
    <t>出口马赫数</t>
    <phoneticPr fontId="1" type="noConversion"/>
  </si>
  <si>
    <t>入口马赫数</t>
    <phoneticPr fontId="1" type="noConversion"/>
  </si>
  <si>
    <t>入口气流角</t>
    <phoneticPr fontId="1" type="noConversion"/>
  </si>
  <si>
    <t>出口气流角15.380629</t>
    <phoneticPr fontId="1" type="noConversion"/>
  </si>
  <si>
    <t>入口速度</t>
    <phoneticPr fontId="1" type="noConversion"/>
  </si>
  <si>
    <t>入口速度x</t>
    <phoneticPr fontId="1" type="noConversion"/>
  </si>
  <si>
    <t>入口速度y</t>
    <phoneticPr fontId="1" type="noConversion"/>
  </si>
  <si>
    <t>出口速度</t>
    <phoneticPr fontId="1" type="noConversion"/>
  </si>
  <si>
    <t>出口速度x</t>
    <phoneticPr fontId="1" type="noConversion"/>
  </si>
  <si>
    <t>出口速度y</t>
    <phoneticPr fontId="1" type="noConversion"/>
  </si>
  <si>
    <t>入口静温</t>
    <phoneticPr fontId="1" type="noConversion"/>
  </si>
  <si>
    <t>入口总温</t>
    <phoneticPr fontId="1" type="noConversion"/>
  </si>
  <si>
    <t>当地音速</t>
    <phoneticPr fontId="1" type="noConversion"/>
  </si>
  <si>
    <t>出口静温</t>
    <phoneticPr fontId="1" type="noConversion"/>
  </si>
  <si>
    <t>出口总温</t>
    <phoneticPr fontId="1" type="noConversion"/>
  </si>
  <si>
    <t>弦长</t>
    <phoneticPr fontId="1" type="noConversion"/>
  </si>
  <si>
    <t>栅距</t>
    <phoneticPr fontId="1" type="noConversion"/>
  </si>
  <si>
    <t>稠度</t>
    <phoneticPr fontId="1" type="noConversion"/>
  </si>
  <si>
    <t>总压恢复系数</t>
    <phoneticPr fontId="1" type="noConversion"/>
  </si>
  <si>
    <t>总压损失系数</t>
    <phoneticPr fontId="1" type="noConversion"/>
  </si>
  <si>
    <t>扩散因子</t>
  </si>
  <si>
    <t>静压比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</si>
</sst>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18" sqref="G18"/>
    </sheetView>
  </sheetViews>
  <sheetFormatPr defaultRowHeight="14.25" x14ac:dyDescent="0.2"/>
  <cols>
    <col min="7" max="7" width="12.5" customWidth="1"/>
  </cols>
  <sheetData>
    <row r="1" spans="1:8" x14ac:dyDescent="0.2">
      <c r="A1" t="s">
        <v>19</v>
      </c>
      <c r="B1">
        <v>0.05</v>
      </c>
      <c r="D1" t="s">
        <v>21</v>
      </c>
      <c r="E1">
        <f>B1/B2</f>
        <v>1.9230769230769234</v>
      </c>
    </row>
    <row r="2" spans="1:8" x14ac:dyDescent="0.2">
      <c r="A2" t="s">
        <v>20</v>
      </c>
      <c r="B2">
        <v>2.5999999999999999E-2</v>
      </c>
    </row>
    <row r="4" spans="1:8" x14ac:dyDescent="0.2">
      <c r="A4" t="s">
        <v>0</v>
      </c>
      <c r="B4">
        <v>97813.508000000002</v>
      </c>
      <c r="D4" t="s">
        <v>1</v>
      </c>
      <c r="E4">
        <v>112024.3</v>
      </c>
      <c r="G4" s="2" t="s">
        <v>25</v>
      </c>
      <c r="H4" s="3">
        <f>E4/B4</f>
        <v>1.1452845551761623</v>
      </c>
    </row>
    <row r="5" spans="1:8" x14ac:dyDescent="0.2">
      <c r="A5" t="s">
        <v>2</v>
      </c>
      <c r="B5">
        <v>122607.45</v>
      </c>
      <c r="D5" t="s">
        <v>3</v>
      </c>
      <c r="E5">
        <v>119321.47</v>
      </c>
      <c r="G5" s="1" t="s">
        <v>22</v>
      </c>
      <c r="H5" s="3">
        <f>E5/B5</f>
        <v>0.9731991816157991</v>
      </c>
    </row>
    <row r="6" spans="1:8" x14ac:dyDescent="0.2">
      <c r="A6" t="s">
        <v>5</v>
      </c>
      <c r="B6">
        <v>0.57759267000000003</v>
      </c>
      <c r="D6" t="s">
        <v>4</v>
      </c>
      <c r="E6">
        <v>0.30172350999999997</v>
      </c>
      <c r="G6" s="1" t="s">
        <v>23</v>
      </c>
      <c r="H6" s="3">
        <f>(B5-E5)/(B5-B4)</f>
        <v>0.13253156759017976</v>
      </c>
    </row>
    <row r="7" spans="1:8" x14ac:dyDescent="0.2">
      <c r="A7" t="s">
        <v>6</v>
      </c>
      <c r="B7">
        <v>57.702641999999997</v>
      </c>
      <c r="D7" t="s">
        <v>7</v>
      </c>
      <c r="E7">
        <v>23.922294999999998</v>
      </c>
      <c r="G7" s="1" t="s">
        <v>24</v>
      </c>
      <c r="H7" s="3">
        <f>1-E9/B9+ABS(B11-E11)/(2*E1*B9)</f>
        <v>0.62875568944681359</v>
      </c>
    </row>
    <row r="9" spans="1:8" x14ac:dyDescent="0.2">
      <c r="A9" t="s">
        <v>8</v>
      </c>
      <c r="B9">
        <v>199.46535</v>
      </c>
      <c r="D9" t="s">
        <v>11</v>
      </c>
      <c r="E9">
        <v>106.64439</v>
      </c>
    </row>
    <row r="10" spans="1:8" x14ac:dyDescent="0.2">
      <c r="A10" t="s">
        <v>9</v>
      </c>
      <c r="B10">
        <v>106.57702999999999</v>
      </c>
      <c r="D10" t="s">
        <v>12</v>
      </c>
      <c r="E10">
        <v>97.483329999999995</v>
      </c>
    </row>
    <row r="11" spans="1:8" x14ac:dyDescent="0.2">
      <c r="A11" t="s">
        <v>10</v>
      </c>
      <c r="B11">
        <v>168.60534999999999</v>
      </c>
      <c r="D11" t="s">
        <v>13</v>
      </c>
      <c r="E11">
        <v>43.243758999999997</v>
      </c>
    </row>
    <row r="13" spans="1:8" x14ac:dyDescent="0.2">
      <c r="A13" t="s">
        <v>14</v>
      </c>
      <c r="B13">
        <v>296.98491999999999</v>
      </c>
      <c r="D13" t="s">
        <v>17</v>
      </c>
      <c r="E13">
        <v>311.10061999999999</v>
      </c>
    </row>
    <row r="14" spans="1:8" x14ac:dyDescent="0.2">
      <c r="A14" t="s">
        <v>15</v>
      </c>
      <c r="B14">
        <v>316.75103999999999</v>
      </c>
      <c r="D14" t="s">
        <v>18</v>
      </c>
      <c r="E14">
        <v>316.75094999999999</v>
      </c>
    </row>
    <row r="15" spans="1:8" x14ac:dyDescent="0.2">
      <c r="A15" t="s">
        <v>16</v>
      </c>
      <c r="B15">
        <v>345.33911000000001</v>
      </c>
      <c r="D15" t="s">
        <v>16</v>
      </c>
      <c r="E15">
        <v>353.45084000000003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carry l</cp:lastModifiedBy>
  <dcterms:created xsi:type="dcterms:W3CDTF">2015-06-05T18:19:34Z</dcterms:created>
  <dcterms:modified xsi:type="dcterms:W3CDTF">2024-03-25T03:36:24Z</dcterms:modified>
</cp:coreProperties>
</file>